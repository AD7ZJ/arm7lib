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05" windowWidth="20955" windowHeight="12270"/>
  </bookViews>
  <sheets>
    <sheet name="LM73" sheetId="1" r:id="rId1"/>
    <sheet name="LM92" sheetId="2" r:id="rId2"/>
  </sheets>
  <calcPr calcId="125725"/>
</workbook>
</file>

<file path=xl/calcChain.xml><?xml version="1.0" encoding="utf-8"?>
<calcChain xmlns="http://schemas.openxmlformats.org/spreadsheetml/2006/main">
  <c r="A9" i="1"/>
  <c r="D16"/>
  <c r="E16" s="1"/>
  <c r="G16" s="1"/>
  <c r="G19" s="1"/>
  <c r="D17"/>
  <c r="D19"/>
  <c r="E17" s="1"/>
  <c r="D4"/>
  <c r="D5"/>
  <c r="D7"/>
  <c r="E5" s="1"/>
  <c r="E4" l="1"/>
  <c r="G4" s="1"/>
  <c r="H7" l="1"/>
  <c r="G7"/>
</calcChain>
</file>

<file path=xl/sharedStrings.xml><?xml version="1.0" encoding="utf-8"?>
<sst xmlns="http://schemas.openxmlformats.org/spreadsheetml/2006/main" count="3" uniqueCount="2">
  <si>
    <t>degC</t>
  </si>
  <si>
    <t>d80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</si>
</sst>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8"/>
      <name val="Arial"/>
    </font>
    <font>
      <b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2.75"/>
  <cols>
    <col min="2" max="2" width="10.140625" customWidth="1"/>
  </cols>
  <sheetData>
    <row r="1" spans="1:8">
      <c r="A1" t="s">
        <v>0</v>
      </c>
    </row>
    <row r="2" spans="1:8">
      <c r="A2">
        <v>128</v>
      </c>
    </row>
    <row r="4" spans="1:8">
      <c r="A4">
        <v>1</v>
      </c>
      <c r="B4">
        <v>9</v>
      </c>
      <c r="C4">
        <v>10</v>
      </c>
      <c r="D4">
        <f>A4*B4*C4</f>
        <v>90</v>
      </c>
      <c r="E4">
        <f>D4/D7</f>
        <v>9</v>
      </c>
      <c r="G4">
        <f>INT(E4*A9/E5)</f>
        <v>486</v>
      </c>
    </row>
    <row r="5" spans="1:8">
      <c r="A5">
        <v>128</v>
      </c>
      <c r="B5">
        <v>5</v>
      </c>
      <c r="C5">
        <v>1</v>
      </c>
      <c r="D5">
        <f>A5*B5*C5</f>
        <v>640</v>
      </c>
      <c r="E5">
        <f>D5/D7</f>
        <v>64</v>
      </c>
      <c r="G5">
        <v>325</v>
      </c>
    </row>
    <row r="7" spans="1:8">
      <c r="D7">
        <f>GCD(D4,D5)</f>
        <v>10</v>
      </c>
      <c r="G7">
        <f>SUM(G4:G6)</f>
        <v>811</v>
      </c>
      <c r="H7">
        <f>(((320+G4)/10)-32)*5/9</f>
        <v>26.999999999999996</v>
      </c>
    </row>
    <row r="9" spans="1:8">
      <c r="A9">
        <f>IF(HEX2DEC(B9)&gt;32767,-HEX2DEC(B9),HEX2DEC(B9))</f>
        <v>3456</v>
      </c>
      <c r="B9" s="1" t="s">
        <v>1</v>
      </c>
    </row>
    <row r="13" spans="1:8">
      <c r="A13" t="s">
        <v>0</v>
      </c>
    </row>
    <row r="14" spans="1:8">
      <c r="A14">
        <v>128</v>
      </c>
    </row>
    <row r="16" spans="1:8">
      <c r="A16">
        <v>1</v>
      </c>
      <c r="B16">
        <v>1</v>
      </c>
      <c r="C16">
        <v>10</v>
      </c>
      <c r="D16">
        <f>A16*B16*C16</f>
        <v>10</v>
      </c>
      <c r="E16">
        <f>D16/D19</f>
        <v>5</v>
      </c>
      <c r="G16">
        <f>INT(E16*A9/E17)</f>
        <v>270</v>
      </c>
    </row>
    <row r="17" spans="1:7">
      <c r="A17">
        <v>128</v>
      </c>
      <c r="B17">
        <v>1</v>
      </c>
      <c r="C17">
        <v>1</v>
      </c>
      <c r="D17">
        <f>A17*B17*C17</f>
        <v>128</v>
      </c>
      <c r="E17">
        <f>D17/D19</f>
        <v>64</v>
      </c>
      <c r="G17">
        <v>0</v>
      </c>
    </row>
    <row r="19" spans="1:7">
      <c r="D19">
        <f>GCD(D16,D17)</f>
        <v>2</v>
      </c>
      <c r="G19">
        <f>SUM(G16:G18)</f>
        <v>270</v>
      </c>
    </row>
    <row r="21" spans="1:7">
      <c r="B21" s="1"/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LM73</vt:lpstr>
      <vt:lpstr>LM92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</dc:creator>
  <cp:lastModifiedBy>na</cp:lastModifiedBy>
  <dcterms:created xsi:type="dcterms:W3CDTF">2007-12-18T21:11:44Z</dcterms:created>
  <dcterms:modified xsi:type="dcterms:W3CDTF">2009-01-24T00:21:24Z</dcterms:modified>
</cp:coreProperties>
</file>